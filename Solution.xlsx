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kusz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D10" authorId="0">
      <text>
        <r>
          <rPr>
            <sz val="10"/>
            <rFont val="Arial"/>
            <family val="2"/>
            <charset val="1"/>
          </rPr>
          <t xml:space="preserve">BFS jest zbyt pamięciożerne</t>
        </r>
      </text>
    </comment>
    <comment ref="D14" authorId="0">
      <text>
        <r>
          <rPr>
            <sz val="10"/>
            <rFont val="Arial"/>
            <family val="2"/>
            <charset val="1"/>
          </rPr>
          <t xml:space="preserve">Sum (3*V</t>
        </r>
        <r>
          <rPr>
            <vertAlign val="subscript"/>
            <sz val="10"/>
            <rFont val="Arial"/>
            <family val="2"/>
            <charset val="1"/>
          </rPr>
          <t xml:space="preserve">i-1</t>
        </r>
        <r>
          <rPr>
            <sz val="10"/>
            <rFont val="Arial"/>
            <family val="2"/>
            <charset val="1"/>
          </rPr>
          <t xml:space="preserve">*
koszt_klonowania+2+3*V</t>
        </r>
        <r>
          <rPr>
            <vertAlign val="subscript"/>
            <sz val="10"/>
            <rFont val="Arial"/>
            <family val="2"/>
            <charset val="1"/>
          </rPr>
          <t xml:space="preserve">i-1</t>
        </r>
        <r>
          <rPr>
            <sz val="10"/>
            <rFont val="Arial"/>
            <family val="2"/>
            <charset val="1"/>
          </rPr>
          <t xml:space="preserve">), i=1 to i=n.
V</t>
        </r>
        <r>
          <rPr>
            <vertAlign val="subscript"/>
            <sz val="10"/>
            <rFont val="Arial"/>
            <family val="2"/>
            <charset val="1"/>
          </rPr>
          <t xml:space="preserve">i-1 </t>
        </r>
        <r>
          <rPr>
            <sz val="10"/>
            <rFont val="Arial"/>
            <family val="2"/>
            <charset val="1"/>
          </rPr>
          <t xml:space="preserve">= (5/3)*4</t>
        </r>
        <r>
          <rPr>
            <vertAlign val="superscript"/>
            <sz val="10"/>
            <rFont val="Arial"/>
            <family val="2"/>
            <charset val="1"/>
          </rPr>
          <t xml:space="preserve">i-1</t>
        </r>
        <r>
          <rPr>
            <sz val="10"/>
            <rFont val="Arial"/>
            <family val="2"/>
            <charset val="1"/>
          </rPr>
          <t xml:space="preserve">-(2/3)</t>
        </r>
      </text>
    </comment>
    <comment ref="D15" authorId="0">
      <text>
        <r>
          <rPr>
            <sz val="10"/>
            <rFont val="Arial"/>
            <family val="2"/>
            <charset val="1"/>
          </rPr>
          <t xml:space="preserve">Wynika z ilości wierzchołków. BFS jest zbyt pamięciożerne.</t>
        </r>
      </text>
    </comment>
    <comment ref="D18" authorId="0">
      <text>
        <r>
          <rPr>
            <sz val="10"/>
            <rFont val="Arial"/>
            <family val="2"/>
            <charset val="1"/>
          </rPr>
          <t xml:space="preserve">Problem klonowania?</t>
        </r>
      </text>
    </comment>
    <comment ref="H2" authorId="0">
      <text>
        <r>
          <rPr>
            <sz val="10"/>
            <rFont val="Arial"/>
            <family val="2"/>
            <charset val="1"/>
          </rPr>
          <t xml:space="preserve">Numerujemy wszystkie wierzchołki.
Iterujemy od wierzchołka o numerze najmniejszym do wierzchołka o numerze największym.
Szukamy wszystkich ścieżek od numeru wierzchołka dla którego obliczamy sumę ścieżek w danej iteracji do wierzchołka o numerze największym poprzez wykorzystanie algorytmu Deep First Search. 
Złożoność:
Czasowa: 
Algorytm DFS ma złożoność liniową zależną od ilości wierzchołków. Algorytm DFS jest wykonywany dla każdego wierzchołka.
Pamięciowa:
k</t>
        </r>
        <r>
          <rPr>
            <vertAlign val="subscript"/>
            <sz val="10"/>
            <rFont val="Arial"/>
            <family val="2"/>
            <charset val="1"/>
          </rPr>
          <t xml:space="preserve">n</t>
        </r>
        <r>
          <rPr>
            <sz val="10"/>
            <rFont val="Arial"/>
            <family val="2"/>
            <charset val="1"/>
          </rPr>
          <t xml:space="preserve"> = 2*k</t>
        </r>
        <r>
          <rPr>
            <vertAlign val="subscript"/>
            <sz val="10"/>
            <rFont val="Arial"/>
            <family val="2"/>
            <charset val="1"/>
          </rPr>
          <t xml:space="preserve">n-1</t>
        </r>
        <r>
          <rPr>
            <sz val="10"/>
            <rFont val="Arial"/>
            <family val="2"/>
            <charset val="1"/>
          </rPr>
          <t xml:space="preserve">+2, gdzie k to długość ścieżki, a n to numer kroku.</t>
        </r>
      </text>
    </comment>
  </commentList>
</comments>
</file>

<file path=xl/sharedStrings.xml><?xml version="1.0" encoding="utf-8"?>
<sst xmlns="http://schemas.openxmlformats.org/spreadsheetml/2006/main" count="77" uniqueCount="55">
  <si>
    <t xml:space="preserve">Fakty</t>
  </si>
  <si>
    <t xml:space="preserve">Problem</t>
  </si>
  <si>
    <t xml:space="preserve">Algorytmy</t>
  </si>
  <si>
    <t xml:space="preserve">Testowanie</t>
  </si>
  <si>
    <t xml:space="preserve">Średnie czasy wykonania (w s)</t>
  </si>
  <si>
    <t xml:space="preserve">Liczba kroków rozbudowy grafu</t>
  </si>
  <si>
    <t xml:space="preserve">Liczba powtórzeń wykonania programu</t>
  </si>
  <si>
    <t xml:space="preserve">Ilość wierzchołków</t>
  </si>
  <si>
    <t xml:space="preserve">V = (5/3)*4n-(2/3)</t>
  </si>
  <si>
    <t xml:space="preserve">Suma wartości krawędzi po wszystkich możliwych ścieżkach</t>
  </si>
  <si>
    <t xml:space="preserve">Brutalny</t>
  </si>
  <si>
    <t xml:space="preserve">Czasowe</t>
  </si>
  <si>
    <t xml:space="preserve">Pamięciowe</t>
  </si>
  <si>
    <t xml:space="preserve">Poprawnościowe</t>
  </si>
  <si>
    <t xml:space="preserve">Algorytm</t>
  </si>
  <si>
    <t xml:space="preserve">Maksymalnie 3 krawędzie na wierzchołek</t>
  </si>
  <si>
    <t xml:space="preserve">cProfile</t>
  </si>
  <si>
    <t xml:space="preserve">Memory-profiler</t>
  </si>
  <si>
    <t xml:space="preserve">unittest</t>
  </si>
  <si>
    <t xml:space="preserve">Oparty na DFS</t>
  </si>
  <si>
    <t xml:space="preserve">Początkowy stan jest kopiowany czterokrotnie i scalany przez dwa dodane wierzchołki, których krawędzie mają taką samą, określoną wartość</t>
  </si>
  <si>
    <t xml:space="preserve">Pozwala na kalibrację profilowania, przez co ograniczany jest wpływ profilowania na wyniki czasu wykonywania.
Przedstawia wpływ czasowy poszczególnych funkcji na działanie programu. </t>
  </si>
  <si>
    <t xml:space="preserve">Przedstawia wpływ pamięciowy poszczególnych funkcji na działanie programu.</t>
  </si>
  <si>
    <t xml:space="preserve">Testy jednostkowe</t>
  </si>
  <si>
    <t xml:space="preserve">q(n)</t>
  </si>
  <si>
    <r>
      <rPr>
        <sz val="10"/>
        <rFont val="Arial"/>
        <family val="2"/>
        <charset val="1"/>
      </rPr>
      <t xml:space="preserve">Złożoność (4</t>
    </r>
    <r>
      <rPr>
        <vertAlign val="superscript"/>
        <sz val="10"/>
        <rFont val="Arial"/>
        <family val="2"/>
        <charset val="1"/>
      </rPr>
      <t xml:space="preserve">n</t>
    </r>
    <r>
      <rPr>
        <sz val="10"/>
        <rFont val="Arial"/>
        <family val="2"/>
        <charset val="1"/>
      </rPr>
      <t xml:space="preserve">)</t>
    </r>
    <r>
      <rPr>
        <vertAlign val="superscript"/>
        <sz val="10"/>
        <rFont val="Arial"/>
        <family val="2"/>
        <charset val="1"/>
      </rPr>
      <t xml:space="preserve">2</t>
    </r>
  </si>
  <si>
    <t xml:space="preserve">Symetria względem poziomu</t>
  </si>
  <si>
    <t xml:space="preserve">Symetria względem pionu</t>
  </si>
  <si>
    <t xml:space="preserve">Średnie czasy wykonania (w ms)</t>
  </si>
  <si>
    <t xml:space="preserve">Wierzchołki dodawane mają zawsze 3 krawędzie</t>
  </si>
  <si>
    <t xml:space="preserve">Iteracyjny</t>
  </si>
  <si>
    <t xml:space="preserve">Wierzchołki scalające, należące do poprzedniego grafu mają zawsze 2 krawędzie</t>
  </si>
  <si>
    <t xml:space="preserve">Przeszukiwanie</t>
  </si>
  <si>
    <t xml:space="preserve">Rekurencyjny</t>
  </si>
  <si>
    <t xml:space="preserve">DFS</t>
  </si>
  <si>
    <t xml:space="preserve">Pre-order</t>
  </si>
  <si>
    <t xml:space="preserve">Złożoność</t>
  </si>
  <si>
    <t xml:space="preserve">Po obliczeniu sumy ścieżek w grafie i potem dodaniu wierzchołka do tego grafu, suma ścieżek dla tego wierzchołka będzie równa sumie ścieżek dla sąsiadującego wierzchołka plus ilość wierzchołków pomnożona przez koszt krawędzi dodanej do grafu.</t>
  </si>
  <si>
    <t xml:space="preserve">Numerowanie</t>
  </si>
  <si>
    <t xml:space="preserve">Niepotrzebne, wynika z użycia listy</t>
  </si>
  <si>
    <t xml:space="preserve">n</t>
  </si>
  <si>
    <t xml:space="preserve">Klonowanie</t>
  </si>
  <si>
    <r>
      <rPr>
        <sz val="10"/>
        <rFont val="Arial"/>
        <family val="2"/>
        <charset val="1"/>
      </rPr>
      <t xml:space="preserve">n</t>
    </r>
    <r>
      <rPr>
        <vertAlign val="superscript"/>
        <sz val="10"/>
        <rFont val="Arial"/>
        <family val="2"/>
        <charset val="1"/>
      </rPr>
      <t xml:space="preserve">2</t>
    </r>
  </si>
  <si>
    <t xml:space="preserve">Przechowywanie grafu</t>
  </si>
  <si>
    <t xml:space="preserve">Graf jako lista zbiorów. Poszczególne zbiory reprezentują wierzchołki. W zbiorach znajdują się numery wierzchołków, z którymi dany wierzchołek jest połączony</t>
  </si>
  <si>
    <t xml:space="preserve">Wykorzystanie pamięci (bajty)</t>
  </si>
  <si>
    <t xml:space="preserve">Ilość krawędzi</t>
  </si>
  <si>
    <t xml:space="preserve">E = V-1</t>
  </si>
  <si>
    <t xml:space="preserve">Wagi krawędzi każdego wierzchołka, który ma dwa krawędzie, są różnowartościowe. Inaczej jest w przypadku wierzchołków, które posiadają trzy krawędzie. U nich są to identyczne wartości.</t>
  </si>
  <si>
    <t xml:space="preserve">Iloraz wartości obecnej i poprzedniej</t>
  </si>
  <si>
    <t xml:space="preserve">-</t>
  </si>
  <si>
    <t xml:space="preserve">Alternatywa:
Specjalne klasy o nazwie Vertex oraz Edge. W liście trzymane są Vertex. Edge posiada 2 Vertex oraz wartość.</t>
  </si>
  <si>
    <t xml:space="preserve">Różnica wartości obecnej i poprzedniej</t>
  </si>
  <si>
    <t xml:space="preserve">Graf jest dwudzielny</t>
  </si>
  <si>
    <t xml:space="preserve">Rozwiązanie właściwe: 
Graf jako lista wierzchołków. Indeks wierzchołka zgadza się z numerem wierzchołka. Każdy wierzchołek posiada listę krawędzi. Krawędź jest reprezentowana jako krotka której pierwszym elementem jest wierzchołek będący drugim końcem krawędzi, a drugim elementem jest wartość tej krawędzi.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</si>
</sst>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#,##0.0000"/>
    <numFmt numFmtId="167" formatCode="0"/>
    <numFmt numFmtId="168" formatCode="0.000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7"/>
      <name val="Arial"/>
      <family val="2"/>
      <charset val="1"/>
    </font>
    <font>
      <vertAlign val="superscript"/>
      <sz val="10"/>
      <name val="Arial"/>
      <family val="2"/>
      <charset val="1"/>
    </font>
    <font>
      <vertAlign val="subscript"/>
      <sz val="10"/>
      <name val="Arial"/>
      <family val="2"/>
      <charset val="1"/>
    </font>
  </fonts>
  <fills count="17">
    <fill>
      <patternFill patternType="none"/>
    </fill>
    <fill>
      <patternFill patternType="gray125"/>
    </fill>
    <fill>
      <patternFill patternType="solid">
        <fgColor rgb="FFED1C24"/>
        <bgColor rgb="FFF04E4D"/>
      </patternFill>
    </fill>
    <fill>
      <patternFill patternType="solid">
        <fgColor rgb="FFADC5E7"/>
        <bgColor rgb="FFBCAED5"/>
      </patternFill>
    </fill>
    <fill>
      <patternFill patternType="solid">
        <fgColor rgb="FFADD58A"/>
        <bgColor rgb="FFBEE3D3"/>
      </patternFill>
    </fill>
    <fill>
      <patternFill patternType="solid">
        <fgColor rgb="FFFFF450"/>
        <bgColor rgb="FFFFF685"/>
      </patternFill>
    </fill>
    <fill>
      <patternFill patternType="solid">
        <fgColor rgb="FFFFF200"/>
        <bgColor rgb="FFFFF450"/>
      </patternFill>
    </fill>
    <fill>
      <patternFill patternType="solid">
        <fgColor rgb="FF0066B3"/>
        <bgColor rgb="FF008080"/>
      </patternFill>
    </fill>
    <fill>
      <patternFill patternType="solid">
        <fgColor rgb="FF62A73B"/>
        <bgColor rgb="FF808000"/>
      </patternFill>
    </fill>
    <fill>
      <patternFill patternType="solid">
        <fgColor rgb="FFBD7CB5"/>
        <bgColor rgb="FFC7A0CB"/>
      </patternFill>
    </fill>
    <fill>
      <patternFill patternType="solid">
        <fgColor rgb="FFF04E4D"/>
        <bgColor rgb="FFED1C24"/>
      </patternFill>
    </fill>
    <fill>
      <patternFill patternType="solid">
        <fgColor rgb="FFBEE3D3"/>
        <bgColor rgb="FFADC5E7"/>
      </patternFill>
    </fill>
    <fill>
      <patternFill patternType="solid">
        <fgColor rgb="FFF8AA97"/>
        <bgColor rgb="FFC7A0CB"/>
      </patternFill>
    </fill>
    <fill>
      <patternFill patternType="solid">
        <fgColor rgb="FFFFF685"/>
        <bgColor rgb="FFFFF450"/>
      </patternFill>
    </fill>
    <fill>
      <patternFill patternType="solid">
        <fgColor rgb="FFFCD3C1"/>
        <bgColor rgb="FFFFF685"/>
      </patternFill>
    </fill>
    <fill>
      <patternFill patternType="solid">
        <fgColor rgb="FFBCAED5"/>
        <bgColor rgb="FFC7A0CB"/>
      </patternFill>
    </fill>
    <fill>
      <patternFill patternType="solid">
        <fgColor rgb="FFC7A0CB"/>
        <bgColor rgb="FFBCAED5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 style="hair"/>
      <top style="hair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7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0" fillId="9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1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4" borderId="2" xfId="0" applyFont="fals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ED1C24"/>
      <rgbColor rgb="FF00FF00"/>
      <rgbColor rgb="FF0000FF"/>
      <rgbColor rgb="FFFFF2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CAED5"/>
      <rgbColor rgb="FF808080"/>
      <rgbColor rgb="FF9999FF"/>
      <rgbColor rgb="FF993366"/>
      <rgbColor rgb="FFFFFFCC"/>
      <rgbColor rgb="FFCCFFFF"/>
      <rgbColor rgb="FF660066"/>
      <rgbColor rgb="FFFF8080"/>
      <rgbColor rgb="FF0066B3"/>
      <rgbColor rgb="FFADD58A"/>
      <rgbColor rgb="FF000080"/>
      <rgbColor rgb="FFFF00FF"/>
      <rgbColor rgb="FFFFF450"/>
      <rgbColor rgb="FF00FFFF"/>
      <rgbColor rgb="FF800080"/>
      <rgbColor rgb="FF800000"/>
      <rgbColor rgb="FF008080"/>
      <rgbColor rgb="FF0000FF"/>
      <rgbColor rgb="FF00CCFF"/>
      <rgbColor rgb="FFCCFFFF"/>
      <rgbColor rgb="FFBEE3D3"/>
      <rgbColor rgb="FFFFF685"/>
      <rgbColor rgb="FFADC5E7"/>
      <rgbColor rgb="FFF8AA97"/>
      <rgbColor rgb="FFC7A0CB"/>
      <rgbColor rgb="FFFCD3C1"/>
      <rgbColor rgb="FF3366FF"/>
      <rgbColor rgb="FF33CCCC"/>
      <rgbColor rgb="FF99CC00"/>
      <rgbColor rgb="FFFFCC00"/>
      <rgbColor rgb="FFFF9900"/>
      <rgbColor rgb="FFF04E4D"/>
      <rgbColor rgb="FF666699"/>
      <rgbColor rgb="FFBD7CB5"/>
      <rgbColor rgb="FF003366"/>
      <rgbColor rgb="FF62A73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30"/>
  <sheetViews>
    <sheetView showFormulas="false" showGridLines="true" showRowColHeaders="true" showZeros="true" rightToLeft="false" tabSelected="true" showOutlineSymbols="true" defaultGridColor="true" view="normal" topLeftCell="M1" colorId="64" zoomScale="100" zoomScaleNormal="100" zoomScalePageLayoutView="100" workbookViewId="0">
      <selection pane="topLeft" activeCell="R21" activeCellId="0" sqref="R21"/>
    </sheetView>
  </sheetViews>
  <sheetFormatPr defaultRowHeight="12.8" zeroHeight="false" outlineLevelRow="0" outlineLevelCol="0"/>
  <cols>
    <col collapsed="false" customWidth="true" hidden="false" outlineLevel="0" max="1" min="1" style="0" width="16.39"/>
    <col collapsed="false" customWidth="true" hidden="false" outlineLevel="0" max="2" min="2" style="0" width="15.34"/>
    <col collapsed="false" customWidth="false" hidden="false" outlineLevel="0" max="7" min="3" style="0" width="11.52"/>
    <col collapsed="false" customWidth="true" hidden="false" outlineLevel="0" max="8" min="8" style="0" width="21.95"/>
    <col collapsed="false" customWidth="false" hidden="false" outlineLevel="0" max="9" min="9" style="0" width="11.52"/>
    <col collapsed="false" customWidth="true" hidden="false" outlineLevel="0" max="11" min="10" style="0" width="14.31"/>
    <col collapsed="false" customWidth="false" hidden="false" outlineLevel="0" max="13" min="12" style="0" width="11.52"/>
    <col collapsed="false" customWidth="true" hidden="false" outlineLevel="0" max="14" min="14" style="0" width="8.19"/>
    <col collapsed="false" customWidth="true" hidden="false" outlineLevel="0" max="15" min="15" style="0" width="33.07"/>
    <col collapsed="false" customWidth="false" hidden="false" outlineLevel="0" max="22" min="16" style="0" width="11.52"/>
    <col collapsed="false" customWidth="true" hidden="false" outlineLevel="0" max="23" min="23" style="0" width="13.06"/>
    <col collapsed="false" customWidth="false" hidden="false" outlineLevel="0" max="1025" min="24" style="0" width="11.52"/>
  </cols>
  <sheetData>
    <row r="1" customFormat="false" ht="12.8" hidden="false" customHeight="true" outlineLevel="0" collapsed="false">
      <c r="A1" s="1" t="s">
        <v>0</v>
      </c>
      <c r="B1" s="1"/>
      <c r="D1" s="2" t="s">
        <v>1</v>
      </c>
      <c r="E1" s="2"/>
      <c r="F1" s="2"/>
      <c r="H1" s="3" t="s">
        <v>2</v>
      </c>
      <c r="J1" s="2" t="s">
        <v>3</v>
      </c>
      <c r="K1" s="2"/>
      <c r="L1" s="2"/>
      <c r="O1" s="4" t="s">
        <v>4</v>
      </c>
      <c r="P1" s="5" t="s">
        <v>5</v>
      </c>
      <c r="Q1" s="5"/>
      <c r="R1" s="5"/>
      <c r="S1" s="5"/>
      <c r="T1" s="5"/>
      <c r="U1" s="5"/>
      <c r="V1" s="5"/>
      <c r="W1" s="6" t="s">
        <v>6</v>
      </c>
    </row>
    <row r="2" customFormat="false" ht="16.5" hidden="false" customHeight="true" outlineLevel="0" collapsed="false">
      <c r="A2" s="7" t="s">
        <v>7</v>
      </c>
      <c r="B2" s="8" t="s">
        <v>8</v>
      </c>
      <c r="D2" s="9" t="s">
        <v>9</v>
      </c>
      <c r="E2" s="9"/>
      <c r="F2" s="9"/>
      <c r="H2" s="10" t="s">
        <v>10</v>
      </c>
      <c r="J2" s="11" t="s">
        <v>11</v>
      </c>
      <c r="K2" s="11" t="s">
        <v>12</v>
      </c>
      <c r="L2" s="11" t="s">
        <v>13</v>
      </c>
      <c r="O2" s="12" t="s">
        <v>14</v>
      </c>
      <c r="P2" s="13" t="n">
        <v>1</v>
      </c>
      <c r="Q2" s="13" t="n">
        <v>2</v>
      </c>
      <c r="R2" s="13" t="n">
        <v>3</v>
      </c>
      <c r="S2" s="13" t="n">
        <v>4</v>
      </c>
      <c r="T2" s="13" t="n">
        <v>5</v>
      </c>
      <c r="U2" s="13" t="n">
        <v>6</v>
      </c>
      <c r="V2" s="13" t="n">
        <v>7</v>
      </c>
      <c r="W2" s="6"/>
    </row>
    <row r="3" customFormat="false" ht="12.8" hidden="false" customHeight="true" outlineLevel="0" collapsed="false">
      <c r="A3" s="14" t="s">
        <v>15</v>
      </c>
      <c r="B3" s="14"/>
      <c r="D3" s="9"/>
      <c r="E3" s="9"/>
      <c r="F3" s="9"/>
      <c r="J3" s="15" t="s">
        <v>16</v>
      </c>
      <c r="K3" s="15" t="s">
        <v>17</v>
      </c>
      <c r="L3" s="15" t="s">
        <v>18</v>
      </c>
      <c r="O3" s="12" t="s">
        <v>19</v>
      </c>
      <c r="P3" s="16" t="n">
        <v>0.00032</v>
      </c>
      <c r="Q3" s="16" t="n">
        <v>0.00323</v>
      </c>
      <c r="R3" s="16" t="n">
        <v>0.0468</v>
      </c>
      <c r="S3" s="16" t="n">
        <v>0.667</v>
      </c>
      <c r="T3" s="16" t="n">
        <v>10.43</v>
      </c>
      <c r="U3" s="16" t="n">
        <v>168</v>
      </c>
      <c r="V3" s="16" t="n">
        <v>2651</v>
      </c>
      <c r="W3" s="17" t="n">
        <v>10</v>
      </c>
    </row>
    <row r="4" customFormat="false" ht="12.8" hidden="false" customHeight="true" outlineLevel="0" collapsed="false">
      <c r="A4" s="14"/>
      <c r="B4" s="14"/>
      <c r="D4" s="18" t="s">
        <v>20</v>
      </c>
      <c r="E4" s="18"/>
      <c r="F4" s="18"/>
      <c r="J4" s="14" t="s">
        <v>21</v>
      </c>
      <c r="K4" s="14" t="s">
        <v>22</v>
      </c>
      <c r="L4" s="14" t="s">
        <v>23</v>
      </c>
      <c r="O4" s="12" t="s">
        <v>24</v>
      </c>
      <c r="P4" s="19" t="n">
        <f aca="false">P3/(POWER(POWER(4,P2),2))*(POWER(POWER(4,$S$2),2))/$S$3</f>
        <v>1.96509745127436</v>
      </c>
      <c r="Q4" s="19" t="n">
        <f aca="false">Q3/(POWER(POWER(4,Q2),2))*(POWER(POWER(4,$S$2),2))/$S$3</f>
        <v>1.23970014992504</v>
      </c>
      <c r="R4" s="19" t="n">
        <f aca="false">R3/(POWER(POWER(4,R2),2))*(POWER(POWER(4,$S$2),2))/$S$3</f>
        <v>1.12263868065967</v>
      </c>
      <c r="S4" s="20" t="n">
        <f aca="false">S3/(POWER(POWER(4,S2),2))*(POWER(POWER(4,$S$2),2))/$S$3</f>
        <v>1</v>
      </c>
      <c r="T4" s="19" t="n">
        <f aca="false">T3/(POWER(POWER(4,T2),2))*(POWER(POWER(4,$S$2),2))/$S$3</f>
        <v>0.977323838080959</v>
      </c>
      <c r="U4" s="19" t="n">
        <f aca="false">U3/(POWER(POWER(4,U2),2))*(POWER(POWER(4,$S$2),2))/$S$3</f>
        <v>0.983883058470764</v>
      </c>
      <c r="V4" s="19" t="n">
        <f aca="false">V3/(POWER(POWER(4,V2),2))*(POWER(POWER(4,$S$2),2))/$S$3</f>
        <v>0.97034002529985</v>
      </c>
      <c r="W4" s="21" t="s">
        <v>25</v>
      </c>
    </row>
    <row r="5" customFormat="false" ht="12.8" hidden="false" customHeight="false" outlineLevel="0" collapsed="false">
      <c r="A5" s="15" t="s">
        <v>26</v>
      </c>
      <c r="B5" s="15"/>
      <c r="D5" s="18"/>
      <c r="E5" s="18"/>
      <c r="F5" s="18"/>
      <c r="J5" s="14"/>
      <c r="K5" s="14"/>
      <c r="L5" s="14"/>
    </row>
    <row r="6" customFormat="false" ht="12.8" hidden="false" customHeight="true" outlineLevel="0" collapsed="false">
      <c r="A6" s="15" t="s">
        <v>27</v>
      </c>
      <c r="B6" s="15"/>
      <c r="D6" s="18"/>
      <c r="E6" s="18"/>
      <c r="F6" s="18"/>
      <c r="J6" s="14"/>
      <c r="K6" s="14"/>
      <c r="O6" s="4" t="s">
        <v>28</v>
      </c>
      <c r="P6" s="5" t="s">
        <v>5</v>
      </c>
      <c r="Q6" s="5"/>
      <c r="R6" s="5"/>
      <c r="S6" s="5"/>
      <c r="T6" s="5"/>
      <c r="U6" s="5"/>
      <c r="V6" s="5"/>
      <c r="W6" s="6" t="s">
        <v>6</v>
      </c>
    </row>
    <row r="7" customFormat="false" ht="12.8" hidden="false" customHeight="true" outlineLevel="0" collapsed="false">
      <c r="A7" s="14" t="s">
        <v>29</v>
      </c>
      <c r="B7" s="14"/>
      <c r="D7" s="18"/>
      <c r="E7" s="18"/>
      <c r="F7" s="18"/>
      <c r="J7" s="14"/>
      <c r="K7" s="14"/>
      <c r="O7" s="12" t="s">
        <v>14</v>
      </c>
      <c r="P7" s="13" t="n">
        <v>5</v>
      </c>
      <c r="Q7" s="13" t="n">
        <v>10</v>
      </c>
      <c r="R7" s="13" t="n">
        <v>15</v>
      </c>
      <c r="S7" s="13" t="n">
        <v>20</v>
      </c>
      <c r="T7" s="13" t="n">
        <v>25</v>
      </c>
      <c r="U7" s="13" t="n">
        <v>30</v>
      </c>
      <c r="V7" s="13" t="n">
        <v>35</v>
      </c>
      <c r="W7" s="6"/>
    </row>
    <row r="8" customFormat="false" ht="12.8" hidden="false" customHeight="false" outlineLevel="0" collapsed="false">
      <c r="A8" s="14"/>
      <c r="B8" s="14"/>
      <c r="J8" s="14"/>
      <c r="K8" s="14"/>
      <c r="O8" s="12" t="s">
        <v>30</v>
      </c>
      <c r="P8" s="22" t="n">
        <v>0.00511</v>
      </c>
      <c r="Q8" s="22" t="n">
        <v>0.01023</v>
      </c>
      <c r="R8" s="22" t="n">
        <v>0.0158</v>
      </c>
      <c r="S8" s="22" t="n">
        <v>0.0218</v>
      </c>
      <c r="T8" s="22" t="n">
        <v>0.0278</v>
      </c>
      <c r="U8" s="22" t="n">
        <v>0.0338</v>
      </c>
      <c r="V8" s="22" t="n">
        <v>0.0405</v>
      </c>
      <c r="W8" s="17" t="n">
        <v>1000000</v>
      </c>
    </row>
    <row r="9" customFormat="false" ht="12.8" hidden="false" customHeight="true" outlineLevel="0" collapsed="false">
      <c r="A9" s="14" t="s">
        <v>31</v>
      </c>
      <c r="B9" s="14"/>
      <c r="D9" s="2" t="s">
        <v>32</v>
      </c>
      <c r="E9" s="2"/>
      <c r="F9" s="2"/>
      <c r="J9" s="14"/>
      <c r="K9" s="14"/>
      <c r="O9" s="12" t="s">
        <v>33</v>
      </c>
      <c r="P9" s="16" t="n">
        <v>0.0226</v>
      </c>
      <c r="Q9" s="16" t="n">
        <v>0.0926</v>
      </c>
      <c r="R9" s="16" t="n">
        <v>0.221</v>
      </c>
      <c r="S9" s="16" t="n">
        <v>0.423</v>
      </c>
      <c r="T9" s="16" t="n">
        <v>0.7</v>
      </c>
      <c r="U9" s="16" t="n">
        <v>1.08</v>
      </c>
      <c r="V9" s="16" t="n">
        <v>1.58</v>
      </c>
      <c r="W9" s="17" t="n">
        <v>1000000</v>
      </c>
    </row>
    <row r="10" customFormat="false" ht="12.8" hidden="false" customHeight="false" outlineLevel="0" collapsed="false">
      <c r="A10" s="14"/>
      <c r="B10" s="14"/>
      <c r="D10" s="15" t="s">
        <v>34</v>
      </c>
      <c r="E10" s="15"/>
      <c r="F10" s="15"/>
      <c r="J10" s="14"/>
      <c r="K10" s="14"/>
    </row>
    <row r="11" customFormat="false" ht="12.8" hidden="false" customHeight="false" outlineLevel="0" collapsed="false">
      <c r="A11" s="14"/>
      <c r="B11" s="14"/>
      <c r="D11" s="15" t="s">
        <v>35</v>
      </c>
      <c r="E11" s="15"/>
      <c r="F11" s="15"/>
      <c r="J11" s="14"/>
      <c r="O11" s="23" t="s">
        <v>24</v>
      </c>
      <c r="P11" s="24" t="s">
        <v>5</v>
      </c>
      <c r="Q11" s="24"/>
      <c r="R11" s="24"/>
      <c r="S11" s="24"/>
      <c r="T11" s="24"/>
      <c r="U11" s="24"/>
      <c r="V11" s="24"/>
      <c r="W11" s="25" t="s">
        <v>36</v>
      </c>
    </row>
    <row r="12" customFormat="false" ht="12.8" hidden="false" customHeight="true" outlineLevel="0" collapsed="false">
      <c r="A12" s="14" t="s">
        <v>37</v>
      </c>
      <c r="B12" s="14"/>
      <c r="D12" s="2" t="s">
        <v>38</v>
      </c>
      <c r="E12" s="2"/>
      <c r="F12" s="2"/>
      <c r="J12" s="14"/>
      <c r="O12" s="26" t="s">
        <v>14</v>
      </c>
      <c r="P12" s="27" t="n">
        <v>5</v>
      </c>
      <c r="Q12" s="27" t="n">
        <v>10</v>
      </c>
      <c r="R12" s="27" t="n">
        <v>15</v>
      </c>
      <c r="S12" s="27" t="n">
        <v>20</v>
      </c>
      <c r="T12" s="27" t="n">
        <v>25</v>
      </c>
      <c r="U12" s="27" t="n">
        <v>30</v>
      </c>
      <c r="V12" s="27" t="n">
        <v>35</v>
      </c>
      <c r="W12" s="25"/>
    </row>
    <row r="13" customFormat="false" ht="12.8" hidden="false" customHeight="true" outlineLevel="0" collapsed="false">
      <c r="A13" s="14"/>
      <c r="B13" s="14"/>
      <c r="D13" s="14" t="s">
        <v>39</v>
      </c>
      <c r="E13" s="14"/>
      <c r="F13" s="14"/>
      <c r="J13" s="14"/>
      <c r="O13" s="26" t="s">
        <v>30</v>
      </c>
      <c r="P13" s="28" t="n">
        <f aca="false">(P8/P7)*($S$7/$S$8)</f>
        <v>0.937614678899083</v>
      </c>
      <c r="Q13" s="28" t="n">
        <f aca="false">(Q8/Q7)*($S$7/$S$8)</f>
        <v>0.938532110091743</v>
      </c>
      <c r="R13" s="28" t="n">
        <f aca="false">(R8/R7)*($S$7/$S$8)</f>
        <v>0.966360856269113</v>
      </c>
      <c r="S13" s="29" t="n">
        <f aca="false">(S8/S7)*($S$7/$S$8)</f>
        <v>1</v>
      </c>
      <c r="T13" s="28" t="n">
        <f aca="false">(T8/T7)*($S$7/$S$8)</f>
        <v>1.02018348623853</v>
      </c>
      <c r="U13" s="28" t="n">
        <f aca="false">(U8/U7)*($S$7/$S$8)</f>
        <v>1.03363914373089</v>
      </c>
      <c r="V13" s="28" t="n">
        <f aca="false">(V8/V7)*($S$7/$S$8)</f>
        <v>1.06159895150721</v>
      </c>
      <c r="W13" s="30" t="s">
        <v>40</v>
      </c>
    </row>
    <row r="14" customFormat="false" ht="13.5" hidden="false" customHeight="false" outlineLevel="0" collapsed="false">
      <c r="A14" s="14"/>
      <c r="B14" s="14"/>
      <c r="D14" s="2" t="s">
        <v>41</v>
      </c>
      <c r="E14" s="2"/>
      <c r="F14" s="2"/>
      <c r="J14" s="14"/>
      <c r="O14" s="26" t="s">
        <v>33</v>
      </c>
      <c r="P14" s="28" t="n">
        <f aca="false">(P9/POWER(P7,2))*(POWER($S$7,2)/$S$9)</f>
        <v>0.8548463356974</v>
      </c>
      <c r="Q14" s="28" t="n">
        <f aca="false">(Q9/POWER(Q7,2))*(POWER($S$7,2)/$S$9)</f>
        <v>0.87565011820331</v>
      </c>
      <c r="R14" s="28" t="n">
        <f aca="false">(R9/POWER(R7,2))*(POWER($S$7,2)/$S$9)</f>
        <v>0.928815340162858</v>
      </c>
      <c r="S14" s="29" t="n">
        <f aca="false">(S9/POWER(S7,3))*(POWER($S$7,3)/$S$9)</f>
        <v>1</v>
      </c>
      <c r="T14" s="28" t="n">
        <f aca="false">(T9/POWER(T7,2))*(POWER($S$7,2)/$S$9)</f>
        <v>1.05910165484634</v>
      </c>
      <c r="U14" s="28" t="n">
        <f aca="false">(U9/POWER(U7,2))*(POWER($S$7,2)/$S$9)</f>
        <v>1.13475177304965</v>
      </c>
      <c r="V14" s="28" t="n">
        <f aca="false">(V9/POWER(V7,2))*(POWER($S$7,2)/$S$9)</f>
        <v>1.21966517103295</v>
      </c>
      <c r="W14" s="30" t="s">
        <v>42</v>
      </c>
    </row>
    <row r="15" customFormat="false" ht="12.8" hidden="false" customHeight="false" outlineLevel="0" collapsed="false">
      <c r="A15" s="14"/>
      <c r="B15" s="14"/>
      <c r="D15" s="15" t="s">
        <v>34</v>
      </c>
      <c r="E15" s="15"/>
      <c r="F15" s="15"/>
      <c r="J15" s="14"/>
    </row>
    <row r="16" customFormat="false" ht="12.8" hidden="false" customHeight="false" outlineLevel="0" collapsed="false">
      <c r="A16" s="14"/>
      <c r="B16" s="14"/>
      <c r="D16" s="15" t="s">
        <v>35</v>
      </c>
      <c r="E16" s="15"/>
      <c r="F16" s="15"/>
      <c r="J16" s="14"/>
    </row>
    <row r="17" customFormat="false" ht="12.8" hidden="false" customHeight="false" outlineLevel="0" collapsed="false">
      <c r="A17" s="14"/>
      <c r="B17" s="14"/>
      <c r="D17" s="2" t="s">
        <v>43</v>
      </c>
      <c r="E17" s="2"/>
      <c r="F17" s="2"/>
      <c r="J17" s="14"/>
    </row>
    <row r="18" customFormat="false" ht="12.8" hidden="false" customHeight="true" outlineLevel="0" collapsed="false">
      <c r="A18" s="14"/>
      <c r="B18" s="14"/>
      <c r="D18" s="14" t="s">
        <v>44</v>
      </c>
      <c r="E18" s="14"/>
      <c r="F18" s="14"/>
      <c r="J18" s="14"/>
      <c r="O18" s="4" t="s">
        <v>45</v>
      </c>
      <c r="P18" s="5" t="s">
        <v>5</v>
      </c>
      <c r="Q18" s="5"/>
      <c r="R18" s="5"/>
      <c r="S18" s="5"/>
      <c r="T18" s="5"/>
      <c r="U18" s="5"/>
    </row>
    <row r="19" customFormat="false" ht="12.8" hidden="false" customHeight="false" outlineLevel="0" collapsed="false">
      <c r="A19" s="14"/>
      <c r="B19" s="14"/>
      <c r="D19" s="14"/>
      <c r="E19" s="14"/>
      <c r="F19" s="14"/>
      <c r="O19" s="12" t="s">
        <v>14</v>
      </c>
      <c r="P19" s="13" t="n">
        <v>1</v>
      </c>
      <c r="Q19" s="13" t="n">
        <v>2</v>
      </c>
      <c r="R19" s="13" t="n">
        <v>3</v>
      </c>
      <c r="S19" s="13" t="n">
        <v>4</v>
      </c>
      <c r="T19" s="13" t="n">
        <v>5</v>
      </c>
      <c r="U19" s="13" t="n">
        <v>6</v>
      </c>
    </row>
    <row r="20" customFormat="false" ht="12.8" hidden="false" customHeight="false" outlineLevel="0" collapsed="false">
      <c r="A20" s="7" t="s">
        <v>46</v>
      </c>
      <c r="B20" s="8" t="s">
        <v>47</v>
      </c>
      <c r="D20" s="14"/>
      <c r="E20" s="14"/>
      <c r="F20" s="14"/>
      <c r="O20" s="12" t="s">
        <v>19</v>
      </c>
      <c r="P20" s="16" t="n">
        <v>144</v>
      </c>
      <c r="Q20" s="16" t="n">
        <v>336</v>
      </c>
      <c r="R20" s="16" t="n">
        <v>1056</v>
      </c>
      <c r="S20" s="16" t="n">
        <v>3936</v>
      </c>
      <c r="T20" s="16" t="n">
        <v>15456</v>
      </c>
      <c r="U20" s="16" t="n">
        <v>61536</v>
      </c>
    </row>
    <row r="21" customFormat="false" ht="12.8" hidden="false" customHeight="true" outlineLevel="0" collapsed="false">
      <c r="A21" s="14" t="s">
        <v>48</v>
      </c>
      <c r="B21" s="14"/>
      <c r="D21" s="14"/>
      <c r="E21" s="14"/>
      <c r="F21" s="14"/>
      <c r="O21" s="12" t="s">
        <v>49</v>
      </c>
      <c r="P21" s="31" t="s">
        <v>50</v>
      </c>
      <c r="Q21" s="31" t="n">
        <f aca="false">Q20/P20</f>
        <v>2.33333333333333</v>
      </c>
      <c r="R21" s="31" t="n">
        <f aca="false">R20/Q20</f>
        <v>3.14285714285714</v>
      </c>
      <c r="S21" s="31" t="n">
        <f aca="false">S20/R20</f>
        <v>3.72727272727273</v>
      </c>
      <c r="T21" s="31" t="n">
        <f aca="false">T20/S20</f>
        <v>3.92682926829268</v>
      </c>
      <c r="U21" s="31" t="n">
        <f aca="false">U20/T20</f>
        <v>3.98136645962733</v>
      </c>
    </row>
    <row r="22" customFormat="false" ht="12.8" hidden="false" customHeight="false" outlineLevel="0" collapsed="false">
      <c r="A22" s="14"/>
      <c r="B22" s="14"/>
      <c r="D22" s="14"/>
      <c r="E22" s="14"/>
      <c r="F22" s="14"/>
    </row>
    <row r="23" customFormat="false" ht="12.8" hidden="false" customHeight="true" outlineLevel="0" collapsed="false">
      <c r="A23" s="14"/>
      <c r="B23" s="14"/>
      <c r="D23" s="14" t="s">
        <v>51</v>
      </c>
      <c r="E23" s="14"/>
      <c r="F23" s="14"/>
      <c r="O23" s="4" t="s">
        <v>45</v>
      </c>
      <c r="P23" s="5" t="s">
        <v>5</v>
      </c>
      <c r="Q23" s="5"/>
      <c r="R23" s="5"/>
      <c r="S23" s="5"/>
      <c r="T23" s="5"/>
      <c r="U23" s="5"/>
    </row>
    <row r="24" customFormat="false" ht="12.8" hidden="false" customHeight="false" outlineLevel="0" collapsed="false">
      <c r="A24" s="14"/>
      <c r="B24" s="14"/>
      <c r="D24" s="14"/>
      <c r="E24" s="14"/>
      <c r="F24" s="14"/>
      <c r="O24" s="12" t="s">
        <v>14</v>
      </c>
      <c r="P24" s="13" t="n">
        <v>1</v>
      </c>
      <c r="Q24" s="13" t="n">
        <v>11</v>
      </c>
      <c r="R24" s="13" t="n">
        <v>21</v>
      </c>
      <c r="S24" s="13" t="n">
        <v>31</v>
      </c>
      <c r="T24" s="13" t="n">
        <v>41</v>
      </c>
      <c r="U24" s="13" t="n">
        <v>51</v>
      </c>
    </row>
    <row r="25" customFormat="false" ht="12.8" hidden="false" customHeight="false" outlineLevel="0" collapsed="false">
      <c r="A25" s="14"/>
      <c r="B25" s="14"/>
      <c r="D25" s="14"/>
      <c r="E25" s="14"/>
      <c r="F25" s="14"/>
      <c r="O25" s="12" t="s">
        <v>33</v>
      </c>
      <c r="P25" s="16" t="n">
        <v>84</v>
      </c>
      <c r="Q25" s="16" t="n">
        <v>948</v>
      </c>
      <c r="R25" s="16" t="n">
        <v>1908</v>
      </c>
      <c r="S25" s="16" t="n">
        <v>2952</v>
      </c>
      <c r="T25" s="16" t="n">
        <v>4096</v>
      </c>
      <c r="U25" s="16" t="n">
        <v>5336</v>
      </c>
    </row>
    <row r="26" customFormat="false" ht="12.8" hidden="false" customHeight="false" outlineLevel="0" collapsed="false">
      <c r="A26" s="14"/>
      <c r="B26" s="14"/>
      <c r="D26" s="14"/>
      <c r="E26" s="14"/>
      <c r="F26" s="14"/>
      <c r="O26" s="12" t="s">
        <v>52</v>
      </c>
      <c r="P26" s="32" t="s">
        <v>50</v>
      </c>
      <c r="Q26" s="32" t="n">
        <f aca="false">Q25-P25</f>
        <v>864</v>
      </c>
      <c r="R26" s="32" t="n">
        <f aca="false">R25-Q25</f>
        <v>960</v>
      </c>
      <c r="S26" s="32" t="n">
        <f aca="false">S25-R25</f>
        <v>1044</v>
      </c>
      <c r="T26" s="32" t="n">
        <f aca="false">T25-S25</f>
        <v>1144</v>
      </c>
      <c r="U26" s="32" t="n">
        <f aca="false">U25-T25</f>
        <v>1240</v>
      </c>
    </row>
    <row r="27" customFormat="false" ht="12.8" hidden="false" customHeight="false" outlineLevel="0" collapsed="false">
      <c r="A27" s="15" t="s">
        <v>53</v>
      </c>
      <c r="B27" s="15"/>
      <c r="D27" s="14"/>
      <c r="E27" s="14"/>
      <c r="F27" s="14"/>
    </row>
    <row r="28" customFormat="false" ht="12.8" hidden="false" customHeight="true" outlineLevel="0" collapsed="false">
      <c r="D28" s="33" t="s">
        <v>54</v>
      </c>
      <c r="E28" s="33"/>
      <c r="F28" s="33"/>
      <c r="O28" s="4" t="s">
        <v>45</v>
      </c>
      <c r="P28" s="5" t="s">
        <v>5</v>
      </c>
      <c r="Q28" s="5"/>
      <c r="R28" s="5"/>
      <c r="S28" s="5"/>
      <c r="T28" s="5"/>
      <c r="U28" s="5"/>
    </row>
    <row r="29" customFormat="false" ht="12.8" hidden="false" customHeight="false" outlineLevel="0" collapsed="false">
      <c r="D29" s="33"/>
      <c r="E29" s="33"/>
      <c r="F29" s="33"/>
      <c r="O29" s="12" t="s">
        <v>14</v>
      </c>
      <c r="P29" s="13" t="n">
        <v>1</v>
      </c>
      <c r="Q29" s="13" t="n">
        <v>11</v>
      </c>
      <c r="R29" s="13" t="n">
        <v>21</v>
      </c>
      <c r="S29" s="13" t="n">
        <v>31</v>
      </c>
      <c r="T29" s="13" t="n">
        <v>41</v>
      </c>
      <c r="U29" s="13" t="n">
        <v>51</v>
      </c>
    </row>
    <row r="30" customFormat="false" ht="12.8" hidden="false" customHeight="false" outlineLevel="0" collapsed="false">
      <c r="D30" s="33"/>
      <c r="E30" s="33"/>
      <c r="F30" s="33"/>
      <c r="O30" s="12" t="s">
        <v>30</v>
      </c>
      <c r="P30" s="16" t="n">
        <v>136</v>
      </c>
      <c r="Q30" s="16" t="n">
        <v>136</v>
      </c>
      <c r="R30" s="16" t="n">
        <v>144</v>
      </c>
      <c r="S30" s="16" t="n">
        <v>156</v>
      </c>
      <c r="T30" s="16" t="n">
        <v>160</v>
      </c>
      <c r="U30" s="16" t="n">
        <v>168</v>
      </c>
    </row>
  </sheetData>
  <mergeCells count="37">
    <mergeCell ref="A1:B1"/>
    <mergeCell ref="D1:F1"/>
    <mergeCell ref="J1:L1"/>
    <mergeCell ref="P1:V1"/>
    <mergeCell ref="W1:W2"/>
    <mergeCell ref="D2:F3"/>
    <mergeCell ref="A3:B4"/>
    <mergeCell ref="D4:F7"/>
    <mergeCell ref="J4:J18"/>
    <mergeCell ref="K4:K10"/>
    <mergeCell ref="L4:L5"/>
    <mergeCell ref="A5:B5"/>
    <mergeCell ref="A6:B6"/>
    <mergeCell ref="P6:V6"/>
    <mergeCell ref="W6:W7"/>
    <mergeCell ref="A7:B8"/>
    <mergeCell ref="A9:B11"/>
    <mergeCell ref="D9:F9"/>
    <mergeCell ref="D10:F10"/>
    <mergeCell ref="D11:F11"/>
    <mergeCell ref="P11:V11"/>
    <mergeCell ref="W11:W12"/>
    <mergeCell ref="A12:B19"/>
    <mergeCell ref="D12:F12"/>
    <mergeCell ref="D13:F13"/>
    <mergeCell ref="D14:F14"/>
    <mergeCell ref="D15:F15"/>
    <mergeCell ref="D16:F16"/>
    <mergeCell ref="D17:F17"/>
    <mergeCell ref="D18:F22"/>
    <mergeCell ref="P18:U18"/>
    <mergeCell ref="A21:B26"/>
    <mergeCell ref="D23:F27"/>
    <mergeCell ref="P23:U23"/>
    <mergeCell ref="A27:B27"/>
    <mergeCell ref="D28:F36"/>
    <mergeCell ref="P28:U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Roman,Regularna"&amp;12&amp;A</oddHeader>
    <oddFooter>&amp;C&amp;"Times New Roman,Regularna"&amp;12Strona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920</TotalTime>
  <Application>LibreOffice/6.0.7.3$Linux_X86_64 LibreOffice_project/00m0$Build-3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2019-10-23T14:05:44Z</dcterms:created>
  <dc:creator/>
  <dc:description/>
  <dc:language>pl-PL</dc:language>
  <cp:lastModifiedBy/>
  <dcterms:modified xsi:type="dcterms:W3CDTF">2020-01-21T21:55:34Z</dcterms:modified>
  <cp:revision>93</cp:revision>
  <dc:subject/>
  <dc:title/>
</cp:coreProperties>
</file>